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rtnlabs\autobe@scenario\website\public\seminars\"/>
    </mc:Choice>
  </mc:AlternateContent>
  <xr:revisionPtr revIDLastSave="0" documentId="8_{D25B840B-4F16-49E8-9EF7-CE533C8B4BC9}" xr6:coauthVersionLast="47" xr6:coauthVersionMax="47" xr10:uidLastSave="{00000000-0000-0000-0000-000000000000}"/>
  <bookViews>
    <workbookView xWindow="-96" yWindow="0" windowWidth="15552" windowHeight="18576" xr2:uid="{1CBE7DDE-74B2-49D2-8272-AB2ED501DA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4" i="1"/>
  <c r="E5" i="1"/>
  <c r="E6" i="1"/>
  <c r="E7" i="1"/>
  <c r="E8" i="1"/>
  <c r="E9" i="1"/>
  <c r="E14" i="1"/>
  <c r="E15" i="1"/>
  <c r="E16" i="1"/>
  <c r="E17" i="1"/>
  <c r="E18" i="1"/>
  <c r="E19" i="1"/>
  <c r="D25" i="1"/>
  <c r="D19" i="1"/>
  <c r="D18" i="1"/>
  <c r="D17" i="1"/>
  <c r="D16" i="1"/>
  <c r="D15" i="1"/>
  <c r="D14" i="1"/>
  <c r="D7" i="1"/>
  <c r="D6" i="1"/>
  <c r="D5" i="1"/>
  <c r="D8" i="1"/>
  <c r="D9" i="1"/>
  <c r="D4" i="1"/>
</calcChain>
</file>

<file path=xl/sharedStrings.xml><?xml version="1.0" encoding="utf-8"?>
<sst xmlns="http://schemas.openxmlformats.org/spreadsheetml/2006/main" count="25" uniqueCount="13">
  <si>
    <t>openai/gpt-5.4</t>
  </si>
  <si>
    <t>qwen/qwen3.5-122b-a10b</t>
  </si>
  <si>
    <t>qwen/qwen3-coder-next</t>
  </si>
  <si>
    <t>anthropic/claude-sonnet-4.6</t>
  </si>
  <si>
    <t>trial</t>
  </si>
  <si>
    <t>success</t>
  </si>
  <si>
    <t>overall rate</t>
  </si>
  <si>
    <t>1st success rate</t>
  </si>
  <si>
    <t>model</t>
  </si>
  <si>
    <t>moonshotai/kimi-k2.5</t>
  </si>
  <si>
    <t>z-ai/glm-5</t>
  </si>
  <si>
    <t>IAutoBeInterfaceEndpointReviewApplication.IProps</t>
  </si>
  <si>
    <t>IAutoBeInterfaceSchemaRefineApplication.IProps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</si>
</sst>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0" fontId="2" fillId="0" borderId="0" xfId="0" applyFo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BBE5-67FF-4EFE-9BA8-02D105BE1A74}">
  <dimension ref="A1:E25"/>
  <sheetViews>
    <sheetView tabSelected="1" workbookViewId="0">
      <selection activeCell="L14" sqref="L14"/>
    </sheetView>
  </sheetViews>
  <sheetFormatPr defaultRowHeight="14.4" x14ac:dyDescent="0.3"/>
  <cols>
    <col min="1" max="1" width="24.44140625" bestFit="1" customWidth="1"/>
    <col min="2" max="2" width="7.44140625" customWidth="1"/>
    <col min="3" max="3" width="7.6640625" bestFit="1" customWidth="1"/>
    <col min="4" max="4" width="9.88671875" bestFit="1" customWidth="1"/>
    <col min="5" max="5" width="14.109375" bestFit="1" customWidth="1"/>
  </cols>
  <sheetData>
    <row r="1" spans="1:5" ht="25.8" x14ac:dyDescent="0.5">
      <c r="A1" s="2" t="s">
        <v>12</v>
      </c>
    </row>
    <row r="3" spans="1:5" x14ac:dyDescent="0.3">
      <c r="A3" t="s">
        <v>8</v>
      </c>
      <c r="B3" t="s">
        <v>4</v>
      </c>
      <c r="C3" t="s">
        <v>5</v>
      </c>
      <c r="D3" t="s">
        <v>6</v>
      </c>
      <c r="E3" t="s">
        <v>7</v>
      </c>
    </row>
    <row r="4" spans="1:5" x14ac:dyDescent="0.3">
      <c r="A4" t="s">
        <v>2</v>
      </c>
      <c r="B4">
        <v>619</v>
      </c>
      <c r="C4">
        <v>166</v>
      </c>
      <c r="D4" s="1">
        <f xml:space="preserve"> C4/B4</f>
        <v>0.26817447495961227</v>
      </c>
      <c r="E4" s="1">
        <f>1/(1+SQRT(B4/C4)*(B4/C4-1))</f>
        <v>0.15949865288285742</v>
      </c>
    </row>
    <row r="5" spans="1:5" x14ac:dyDescent="0.3">
      <c r="A5" t="s">
        <v>1</v>
      </c>
      <c r="B5">
        <v>370</v>
      </c>
      <c r="C5">
        <v>115</v>
      </c>
      <c r="D5" s="1">
        <f t="shared" ref="D5:D7" si="0" xml:space="preserve"> C5/B5</f>
        <v>0.3108108108108108</v>
      </c>
      <c r="E5" s="1">
        <f t="shared" ref="E5:E9" si="1">1/(1+SQRT(B5/C5)*(B5/C5-1))</f>
        <v>0.20090994833673281</v>
      </c>
    </row>
    <row r="6" spans="1:5" x14ac:dyDescent="0.3">
      <c r="A6" t="s">
        <v>9</v>
      </c>
      <c r="B6">
        <v>382</v>
      </c>
      <c r="C6">
        <v>177</v>
      </c>
      <c r="D6" s="1">
        <f t="shared" si="0"/>
        <v>0.46335078534031415</v>
      </c>
      <c r="E6" s="1">
        <f t="shared" si="1"/>
        <v>0.37016811096125574</v>
      </c>
    </row>
    <row r="7" spans="1:5" x14ac:dyDescent="0.3">
      <c r="A7" t="s">
        <v>10</v>
      </c>
      <c r="B7">
        <v>169</v>
      </c>
      <c r="C7">
        <v>96</v>
      </c>
      <c r="D7" s="1">
        <f t="shared" ref="D7" si="2" xml:space="preserve"> C7/B7</f>
        <v>0.56804733727810652</v>
      </c>
      <c r="E7" s="1">
        <f t="shared" si="1"/>
        <v>0.4977783867680195</v>
      </c>
    </row>
    <row r="8" spans="1:5" x14ac:dyDescent="0.3">
      <c r="A8" t="s">
        <v>0</v>
      </c>
      <c r="B8">
        <v>338</v>
      </c>
      <c r="C8">
        <v>144</v>
      </c>
      <c r="D8" s="1">
        <f xml:space="preserve"> C8/B8</f>
        <v>0.42603550295857989</v>
      </c>
      <c r="E8" s="1">
        <f t="shared" si="1"/>
        <v>0.32636739128065811</v>
      </c>
    </row>
    <row r="9" spans="1:5" x14ac:dyDescent="0.3">
      <c r="A9" t="s">
        <v>3</v>
      </c>
      <c r="B9">
        <v>360</v>
      </c>
      <c r="C9">
        <v>151</v>
      </c>
      <c r="D9" s="1">
        <f xml:space="preserve"> C9/B9</f>
        <v>0.41944444444444445</v>
      </c>
      <c r="E9" s="1">
        <f t="shared" si="1"/>
        <v>0.31876210333283272</v>
      </c>
    </row>
    <row r="11" spans="1:5" ht="25.8" x14ac:dyDescent="0.5">
      <c r="A11" s="2" t="s">
        <v>11</v>
      </c>
    </row>
    <row r="13" spans="1:5" x14ac:dyDescent="0.3">
      <c r="A13" t="s">
        <v>8</v>
      </c>
      <c r="B13" t="s">
        <v>4</v>
      </c>
      <c r="C13" t="s">
        <v>5</v>
      </c>
      <c r="D13" t="s">
        <v>6</v>
      </c>
      <c r="E13" t="s">
        <v>7</v>
      </c>
    </row>
    <row r="14" spans="1:5" x14ac:dyDescent="0.3">
      <c r="A14" t="s">
        <v>2</v>
      </c>
      <c r="B14">
        <v>188</v>
      </c>
      <c r="C14">
        <v>46</v>
      </c>
      <c r="D14" s="1">
        <f xml:space="preserve"> C14/B14</f>
        <v>0.24468085106382978</v>
      </c>
      <c r="E14" s="1">
        <f>1/(1+SQRT(B14/C14)*(B14/C14-1))</f>
        <v>0.1381089571249772</v>
      </c>
    </row>
    <row r="15" spans="1:5" x14ac:dyDescent="0.3">
      <c r="A15" t="s">
        <v>1</v>
      </c>
      <c r="B15">
        <v>56</v>
      </c>
      <c r="C15">
        <v>56</v>
      </c>
      <c r="D15" s="1">
        <f t="shared" ref="D15:D17" si="3" xml:space="preserve"> C15/B15</f>
        <v>1</v>
      </c>
      <c r="E15" s="1">
        <f t="shared" ref="E15:E19" si="4">1/(1+SQRT(B15/C15)*(B15/C15-1))</f>
        <v>1</v>
      </c>
    </row>
    <row r="16" spans="1:5" x14ac:dyDescent="0.3">
      <c r="A16" t="s">
        <v>9</v>
      </c>
      <c r="B16">
        <v>116</v>
      </c>
      <c r="C16">
        <v>38</v>
      </c>
      <c r="D16" s="1">
        <f t="shared" si="3"/>
        <v>0.32758620689655171</v>
      </c>
      <c r="E16" s="1">
        <f t="shared" si="4"/>
        <v>0.21804006367996392</v>
      </c>
    </row>
    <row r="17" spans="1:5" x14ac:dyDescent="0.3">
      <c r="A17" t="s">
        <v>10</v>
      </c>
      <c r="B17">
        <v>67</v>
      </c>
      <c r="C17">
        <v>53</v>
      </c>
      <c r="D17" s="1">
        <f t="shared" si="3"/>
        <v>0.79104477611940294</v>
      </c>
      <c r="E17" s="1">
        <f t="shared" si="4"/>
        <v>0.77101198125142978</v>
      </c>
    </row>
    <row r="18" spans="1:5" x14ac:dyDescent="0.3">
      <c r="A18" t="s">
        <v>0</v>
      </c>
      <c r="B18">
        <v>212</v>
      </c>
      <c r="C18">
        <v>21</v>
      </c>
      <c r="D18" s="1">
        <f xml:space="preserve"> C18/B18</f>
        <v>9.9056603773584911E-2</v>
      </c>
      <c r="E18" s="1">
        <f t="shared" si="4"/>
        <v>3.3446713214743101E-2</v>
      </c>
    </row>
    <row r="19" spans="1:5" x14ac:dyDescent="0.3">
      <c r="A19" t="s">
        <v>3</v>
      </c>
      <c r="B19">
        <v>24</v>
      </c>
      <c r="C19">
        <v>24</v>
      </c>
      <c r="D19" s="1">
        <f xml:space="preserve"> C19/B19</f>
        <v>1</v>
      </c>
      <c r="E19" s="1">
        <f t="shared" si="4"/>
        <v>1</v>
      </c>
    </row>
    <row r="25" spans="1:5" x14ac:dyDescent="0.3">
      <c r="A25" t="s">
        <v>2</v>
      </c>
      <c r="B25">
        <v>2075</v>
      </c>
      <c r="C25">
        <v>140</v>
      </c>
      <c r="D25" s="1">
        <f xml:space="preserve"> C25/B25</f>
        <v>6.746987951807229E-2</v>
      </c>
      <c r="E25" s="1">
        <f>1/(1+SQRT(B25/C25)*(B25/C25-1))</f>
        <v>1.8446584776447179E-2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Jeongho Nam</dc:creator>
  <cp:lastModifiedBy>Jeongho Nam</cp:lastModifiedBy>
  <dcterms:created xsi:type="dcterms:W3CDTF">2026-03-21T01:29:22Z</dcterms:created>
  <dcterms:modified xsi:type="dcterms:W3CDTF">2026-03-21T13:02:37Z</dcterms:modified>
</cp:coreProperties>
</file>